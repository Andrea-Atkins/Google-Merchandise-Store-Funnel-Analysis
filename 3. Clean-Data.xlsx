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C3842AA-0DB2-443B-85D5-DE6A7251E04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Q1" sheetId="1" r:id="rId1"/>
    <sheet name="Q2" sheetId="2" r:id="rId2"/>
    <sheet name="Q3" sheetId="3" r:id="rId3"/>
    <sheet name="Q4" sheetId="4" r:id="rId4"/>
    <sheet name="Q5" sheetId="5" r:id="rId5"/>
    <sheet name="Sheet1" sheetId="9" r:id="rId6"/>
    <sheet name="Sheet2" sheetId="10" r:id="rId7"/>
    <sheet name="Q6" sheetId="6" r:id="rId8"/>
    <sheet name="Q7" sheetId="7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5" l="1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3" i="5"/>
  <c r="B2" i="5"/>
</calcChain>
</file>

<file path=xl/sharedStrings.xml><?xml version="1.0" encoding="utf-8"?>
<sst xmlns="http://schemas.openxmlformats.org/spreadsheetml/2006/main" count="166" uniqueCount="66">
  <si>
    <t>sessions</t>
  </si>
  <si>
    <t>add_to_cart</t>
  </si>
  <si>
    <t>purchase</t>
  </si>
  <si>
    <t>channel</t>
  </si>
  <si>
    <t>purchasers</t>
  </si>
  <si>
    <t>conversion_rate_pct</t>
  </si>
  <si>
    <t>organic</t>
  </si>
  <si>
    <t>(none)</t>
  </si>
  <si>
    <t>referral</t>
  </si>
  <si>
    <t>&lt;Other&gt;</t>
  </si>
  <si>
    <t>(data deleted)</t>
  </si>
  <si>
    <t>cpc</t>
  </si>
  <si>
    <t>device_type</t>
  </si>
  <si>
    <t>desktop</t>
  </si>
  <si>
    <t>mobile</t>
  </si>
  <si>
    <t>tablet</t>
  </si>
  <si>
    <t>landing_page</t>
  </si>
  <si>
    <t>entries</t>
  </si>
  <si>
    <t>https://shop.googlemerchandisestore.com/</t>
  </si>
  <si>
    <t>https://shop.googlemerchandisestore.com/Google+Redesign/Apparel</t>
  </si>
  <si>
    <t>https://googlemerchandisestore.com/</t>
  </si>
  <si>
    <t>https://www.googlemerchandisestore.com/</t>
  </si>
  <si>
    <t>https://shop.googlemerchandisestore.com/Google+Redesign/Shop+by+Brand/YouTube</t>
  </si>
  <si>
    <t>https://shop.googlemerchandisestore.com/Google+Redesign/Apparel/Google+Dino+Game+Tee</t>
  </si>
  <si>
    <t>https://shop.googlemerchandisestore.com/store.html</t>
  </si>
  <si>
    <t>https://shop.googlemerchandisestore.com/Google+Redesign/Apparel/Mens/Mens+T+Shirts</t>
  </si>
  <si>
    <t>https://shop.googlemerchandisestore.com/Google+Redesign/Lifestyle/Drinkware</t>
  </si>
  <si>
    <t>https://shop.googlemerchandisestore.com/Google+Redesign/Lifestyle/Bags</t>
  </si>
  <si>
    <t>https://shop.googlemerchandisestore.com/store-policies/frequently-asked-questions/</t>
  </si>
  <si>
    <t>https://shop.googlemerchandisestore.com/Google+Redesign/Apparel/YouTube+Icon+Hoodie+Black</t>
  </si>
  <si>
    <t>https://shop.googlemerchandisestore.com/Google+Redesign/Shop+by+Brand/Google</t>
  </si>
  <si>
    <t>https://shop.googlemerchandisestore.com/Google+Redesign/Apparel/Mens</t>
  </si>
  <si>
    <t>https://shop.googlemerchandisestore.com/Google+Redesign/Stationery/Stickers</t>
  </si>
  <si>
    <t>https://shop.googlemerchandisestore.com/signin.html</t>
  </si>
  <si>
    <t>https://shop.googlemerchandisestore.com/basket.html</t>
  </si>
  <si>
    <t>https://shop.googlemerchandisestore.com/Google+Redesign/Accessories/Google+Chrome+Dinosaur+Collectible</t>
  </si>
  <si>
    <t>https://shop.googlemerchandisestore.com/Google+Redesign/bags/backpacks/</t>
  </si>
  <si>
    <t>https://shop.googlemerchandisestore.com/Google+Redesign/Accessories</t>
  </si>
  <si>
    <t>event_date</t>
  </si>
  <si>
    <t>day_of_week</t>
  </si>
  <si>
    <t>Sunday</t>
  </si>
  <si>
    <t>Monday</t>
  </si>
  <si>
    <t>Tuesday</t>
  </si>
  <si>
    <t>Wednesday</t>
  </si>
  <si>
    <t>Thursday</t>
  </si>
  <si>
    <t>Friday</t>
  </si>
  <si>
    <t>Saturday</t>
  </si>
  <si>
    <t>added_to_cart</t>
  </si>
  <si>
    <t>reached_checkout</t>
  </si>
  <si>
    <t>abandonment_rate_pct</t>
  </si>
  <si>
    <t>visitor_type</t>
  </si>
  <si>
    <t>new</t>
  </si>
  <si>
    <t>returning</t>
  </si>
  <si>
    <t>Date</t>
  </si>
  <si>
    <t>Number of week</t>
  </si>
  <si>
    <t>Day of week</t>
  </si>
  <si>
    <t>Total purchases</t>
  </si>
  <si>
    <t xml:space="preserve">Stage             </t>
  </si>
  <si>
    <t>Users</t>
  </si>
  <si>
    <t xml:space="preserve">added_to_cart      </t>
  </si>
  <si>
    <t xml:space="preserve">reached_checkout  </t>
  </si>
  <si>
    <t>Sessions</t>
  </si>
  <si>
    <t>View Item</t>
  </si>
  <si>
    <t>Add to Cart</t>
  </si>
  <si>
    <t>Begin Checkout</t>
  </si>
  <si>
    <t>Purchase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</si>
</sst>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1" sqref="E1"/>
    </sheetView>
  </sheetViews>
  <sheetFormatPr defaultRowHeight="15" x14ac:dyDescent="0.25"/>
  <sheetData>
    <row r="1" spans="1:5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</row>
    <row r="2" spans="1:5" x14ac:dyDescent="0.25">
      <c r="A2">
        <v>267116</v>
      </c>
      <c r="B2">
        <v>61252</v>
      </c>
      <c r="C2">
        <v>12545</v>
      </c>
      <c r="D2">
        <v>9715</v>
      </c>
      <c r="E2">
        <v>4419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3313E-DD2D-452F-99F4-6CE40C426743}">
  <dimension ref="A1:D7"/>
  <sheetViews>
    <sheetView workbookViewId="0">
      <selection activeCell="E17" sqref="E17"/>
    </sheetView>
  </sheetViews>
  <sheetFormatPr defaultRowHeight="15" x14ac:dyDescent="0.25"/>
  <sheetData>
    <row r="1" spans="1:4" x14ac:dyDescent="0.25">
      <c r="A1" t="s">
        <v>3</v>
      </c>
      <c r="B1" t="s">
        <v>0</v>
      </c>
      <c r="C1" t="s">
        <v>4</v>
      </c>
      <c r="D1" t="s">
        <v>5</v>
      </c>
    </row>
    <row r="2" spans="1:4" x14ac:dyDescent="0.25">
      <c r="A2" t="s">
        <v>6</v>
      </c>
      <c r="B2">
        <v>111346</v>
      </c>
      <c r="C2">
        <v>1323</v>
      </c>
      <c r="D2">
        <v>1.19</v>
      </c>
    </row>
    <row r="3" spans="1:4" x14ac:dyDescent="0.25">
      <c r="A3" t="s">
        <v>7</v>
      </c>
      <c r="B3">
        <v>75025</v>
      </c>
      <c r="C3">
        <v>1054</v>
      </c>
      <c r="D3">
        <v>1.4</v>
      </c>
    </row>
    <row r="4" spans="1:4" x14ac:dyDescent="0.25">
      <c r="A4" t="s">
        <v>8</v>
      </c>
      <c r="B4">
        <v>54380</v>
      </c>
      <c r="C4">
        <v>1026</v>
      </c>
      <c r="D4">
        <v>1.89</v>
      </c>
    </row>
    <row r="5" spans="1:4" x14ac:dyDescent="0.25">
      <c r="A5" t="s">
        <v>9</v>
      </c>
      <c r="B5">
        <v>50777</v>
      </c>
      <c r="C5">
        <v>499</v>
      </c>
      <c r="D5">
        <v>0.98</v>
      </c>
    </row>
    <row r="6" spans="1:4" x14ac:dyDescent="0.25">
      <c r="A6" t="s">
        <v>10</v>
      </c>
      <c r="B6">
        <v>17210</v>
      </c>
      <c r="C6">
        <v>688</v>
      </c>
      <c r="D6">
        <v>4</v>
      </c>
    </row>
    <row r="7" spans="1:4" x14ac:dyDescent="0.25">
      <c r="A7" t="s">
        <v>11</v>
      </c>
      <c r="B7">
        <v>15450</v>
      </c>
      <c r="C7">
        <v>152</v>
      </c>
      <c r="D7">
        <v>0.98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DD3DC-CE9E-474E-9E8F-D265874513A9}">
  <dimension ref="A1:E4"/>
  <sheetViews>
    <sheetView workbookViewId="0">
      <selection activeCell="E13" sqref="E13"/>
    </sheetView>
  </sheetViews>
  <sheetFormatPr defaultRowHeight="15" x14ac:dyDescent="0.25"/>
  <sheetData>
    <row r="1" spans="1:5" x14ac:dyDescent="0.25">
      <c r="A1" t="s">
        <v>12</v>
      </c>
      <c r="B1" t="s">
        <v>0</v>
      </c>
      <c r="C1" t="s">
        <v>1</v>
      </c>
      <c r="D1" t="s">
        <v>2</v>
      </c>
      <c r="E1" t="s">
        <v>5</v>
      </c>
    </row>
    <row r="2" spans="1:5" x14ac:dyDescent="0.25">
      <c r="A2" t="s">
        <v>13</v>
      </c>
      <c r="B2">
        <v>157079</v>
      </c>
      <c r="C2">
        <v>7384</v>
      </c>
      <c r="D2">
        <v>2541</v>
      </c>
      <c r="E2">
        <v>1.62</v>
      </c>
    </row>
    <row r="3" spans="1:5" x14ac:dyDescent="0.25">
      <c r="A3" t="s">
        <v>14</v>
      </c>
      <c r="B3">
        <v>107981</v>
      </c>
      <c r="C3">
        <v>5142</v>
      </c>
      <c r="D3">
        <v>1851</v>
      </c>
      <c r="E3">
        <v>1.71</v>
      </c>
    </row>
    <row r="4" spans="1:5" x14ac:dyDescent="0.25">
      <c r="A4" t="s">
        <v>15</v>
      </c>
      <c r="B4">
        <v>6175</v>
      </c>
      <c r="C4">
        <v>276</v>
      </c>
      <c r="D4">
        <v>97</v>
      </c>
      <c r="E4">
        <v>1.57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AA866-4CFF-4060-820F-6B9F81A8D217}">
  <dimension ref="A1:B21"/>
  <sheetViews>
    <sheetView workbookViewId="0">
      <selection activeCell="E17" sqref="E17"/>
    </sheetView>
  </sheetViews>
  <sheetFormatPr defaultRowHeight="15" x14ac:dyDescent="0.25"/>
  <sheetData>
    <row r="1" spans="1:2" x14ac:dyDescent="0.25">
      <c r="A1" t="s">
        <v>16</v>
      </c>
      <c r="B1" t="s">
        <v>17</v>
      </c>
    </row>
    <row r="2" spans="1:2" x14ac:dyDescent="0.25">
      <c r="A2" t="s">
        <v>18</v>
      </c>
      <c r="B2">
        <v>69148</v>
      </c>
    </row>
    <row r="3" spans="1:2" x14ac:dyDescent="0.25">
      <c r="A3" t="s">
        <v>19</v>
      </c>
      <c r="B3">
        <v>36639</v>
      </c>
    </row>
    <row r="4" spans="1:2" x14ac:dyDescent="0.25">
      <c r="A4" t="s">
        <v>20</v>
      </c>
      <c r="B4">
        <v>30856</v>
      </c>
    </row>
    <row r="5" spans="1:2" x14ac:dyDescent="0.25">
      <c r="A5" t="s">
        <v>21</v>
      </c>
      <c r="B5">
        <v>22407</v>
      </c>
    </row>
    <row r="6" spans="1:2" x14ac:dyDescent="0.25">
      <c r="A6" t="s">
        <v>22</v>
      </c>
      <c r="B6">
        <v>21996</v>
      </c>
    </row>
    <row r="7" spans="1:2" x14ac:dyDescent="0.25">
      <c r="A7" t="s">
        <v>23</v>
      </c>
      <c r="B7">
        <v>17819</v>
      </c>
    </row>
    <row r="8" spans="1:2" x14ac:dyDescent="0.25">
      <c r="A8" t="s">
        <v>24</v>
      </c>
      <c r="B8">
        <v>12297</v>
      </c>
    </row>
    <row r="9" spans="1:2" x14ac:dyDescent="0.25">
      <c r="A9" t="s">
        <v>25</v>
      </c>
      <c r="B9">
        <v>6235</v>
      </c>
    </row>
    <row r="10" spans="1:2" x14ac:dyDescent="0.25">
      <c r="A10" t="s">
        <v>26</v>
      </c>
      <c r="B10">
        <v>3758</v>
      </c>
    </row>
    <row r="11" spans="1:2" x14ac:dyDescent="0.25">
      <c r="A11" t="s">
        <v>27</v>
      </c>
      <c r="B11">
        <v>2427</v>
      </c>
    </row>
    <row r="12" spans="1:2" x14ac:dyDescent="0.25">
      <c r="A12" t="s">
        <v>28</v>
      </c>
      <c r="B12">
        <v>2380</v>
      </c>
    </row>
    <row r="13" spans="1:2" x14ac:dyDescent="0.25">
      <c r="A13" t="s">
        <v>29</v>
      </c>
      <c r="B13">
        <v>2356</v>
      </c>
    </row>
    <row r="14" spans="1:2" x14ac:dyDescent="0.25">
      <c r="A14" t="s">
        <v>30</v>
      </c>
      <c r="B14">
        <v>2238</v>
      </c>
    </row>
    <row r="15" spans="1:2" x14ac:dyDescent="0.25">
      <c r="A15" t="s">
        <v>31</v>
      </c>
      <c r="B15">
        <v>2209</v>
      </c>
    </row>
    <row r="16" spans="1:2" x14ac:dyDescent="0.25">
      <c r="A16" t="s">
        <v>32</v>
      </c>
      <c r="B16">
        <v>2077</v>
      </c>
    </row>
    <row r="17" spans="1:2" x14ac:dyDescent="0.25">
      <c r="A17" t="s">
        <v>33</v>
      </c>
      <c r="B17">
        <v>1713</v>
      </c>
    </row>
    <row r="18" spans="1:2" x14ac:dyDescent="0.25">
      <c r="A18" t="s">
        <v>34</v>
      </c>
      <c r="B18">
        <v>1564</v>
      </c>
    </row>
    <row r="19" spans="1:2" x14ac:dyDescent="0.25">
      <c r="A19" t="s">
        <v>35</v>
      </c>
      <c r="B19">
        <v>1442</v>
      </c>
    </row>
    <row r="20" spans="1:2" x14ac:dyDescent="0.25">
      <c r="A20" t="s">
        <v>36</v>
      </c>
      <c r="B20">
        <v>1398</v>
      </c>
    </row>
    <row r="21" spans="1:2" x14ac:dyDescent="0.25">
      <c r="A21" t="s">
        <v>37</v>
      </c>
      <c r="B21">
        <v>1237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DA198-B85C-4E17-ACE8-DACD21E734A1}">
  <dimension ref="A1:F93"/>
  <sheetViews>
    <sheetView topLeftCell="A92" workbookViewId="0">
      <selection activeCell="A42" sqref="A42:F93"/>
    </sheetView>
  </sheetViews>
  <sheetFormatPr defaultRowHeight="15" x14ac:dyDescent="0.25"/>
  <cols>
    <col min="1" max="1" width="11.85546875" customWidth="1"/>
    <col min="2" max="2" width="16" customWidth="1"/>
  </cols>
  <sheetData>
    <row r="1" spans="1:6" x14ac:dyDescent="0.25">
      <c r="A1" t="s">
        <v>38</v>
      </c>
      <c r="B1" t="s">
        <v>53</v>
      </c>
      <c r="C1" t="s">
        <v>39</v>
      </c>
      <c r="D1" t="s">
        <v>0</v>
      </c>
      <c r="E1" t="s">
        <v>4</v>
      </c>
      <c r="F1" t="s">
        <v>5</v>
      </c>
    </row>
    <row r="2" spans="1:6" x14ac:dyDescent="0.25">
      <c r="A2">
        <v>20201101</v>
      </c>
      <c r="B2" s="1">
        <f>DATE(LEFT(A2,4),MID(A2,5,2),RIGHT(A2,2))</f>
        <v>44136</v>
      </c>
      <c r="C2" t="s">
        <v>40</v>
      </c>
      <c r="D2">
        <v>2339</v>
      </c>
      <c r="E2">
        <v>13</v>
      </c>
      <c r="F2">
        <v>0.56000000000000005</v>
      </c>
    </row>
    <row r="3" spans="1:6" x14ac:dyDescent="0.25">
      <c r="A3">
        <v>20201102</v>
      </c>
      <c r="B3" s="1">
        <f>DATE(LEFT(A3,4),MID(A3,5,2),RIGHT(A3,2))</f>
        <v>44137</v>
      </c>
      <c r="C3" t="s">
        <v>41</v>
      </c>
      <c r="D3">
        <v>3227</v>
      </c>
      <c r="E3">
        <v>39</v>
      </c>
      <c r="F3">
        <v>1.21</v>
      </c>
    </row>
    <row r="4" spans="1:6" x14ac:dyDescent="0.25">
      <c r="A4">
        <v>20201103</v>
      </c>
      <c r="B4" s="1">
        <f t="shared" ref="B4:B67" si="0">DATE(LEFT(A4,4),MID(A4,5,2),RIGHT(A4,2))</f>
        <v>44138</v>
      </c>
      <c r="C4" t="s">
        <v>42</v>
      </c>
      <c r="D4">
        <v>4604</v>
      </c>
      <c r="E4">
        <v>46</v>
      </c>
      <c r="F4">
        <v>1</v>
      </c>
    </row>
    <row r="5" spans="1:6" x14ac:dyDescent="0.25">
      <c r="A5">
        <v>20201104</v>
      </c>
      <c r="B5" s="1">
        <f t="shared" si="0"/>
        <v>44139</v>
      </c>
      <c r="C5" t="s">
        <v>43</v>
      </c>
      <c r="D5">
        <v>3691</v>
      </c>
      <c r="E5">
        <v>30</v>
      </c>
      <c r="F5">
        <v>0.81</v>
      </c>
    </row>
    <row r="6" spans="1:6" x14ac:dyDescent="0.25">
      <c r="A6">
        <v>20201105</v>
      </c>
      <c r="B6" s="1">
        <f t="shared" si="0"/>
        <v>44140</v>
      </c>
      <c r="C6" t="s">
        <v>44</v>
      </c>
      <c r="D6">
        <v>3236</v>
      </c>
      <c r="E6">
        <v>26</v>
      </c>
      <c r="F6">
        <v>0.8</v>
      </c>
    </row>
    <row r="7" spans="1:6" x14ac:dyDescent="0.25">
      <c r="A7">
        <v>20201106</v>
      </c>
      <c r="B7" s="1">
        <f t="shared" si="0"/>
        <v>44141</v>
      </c>
      <c r="C7" t="s">
        <v>45</v>
      </c>
      <c r="D7">
        <v>2768</v>
      </c>
      <c r="E7">
        <v>48</v>
      </c>
      <c r="F7">
        <v>1.73</v>
      </c>
    </row>
    <row r="8" spans="1:6" x14ac:dyDescent="0.25">
      <c r="A8">
        <v>20201107</v>
      </c>
      <c r="B8" s="1">
        <f t="shared" si="0"/>
        <v>44142</v>
      </c>
      <c r="C8" t="s">
        <v>46</v>
      </c>
      <c r="D8">
        <v>1977</v>
      </c>
      <c r="E8">
        <v>28</v>
      </c>
      <c r="F8">
        <v>1.42</v>
      </c>
    </row>
    <row r="9" spans="1:6" x14ac:dyDescent="0.25">
      <c r="A9">
        <v>20201108</v>
      </c>
      <c r="B9" s="1">
        <f t="shared" si="0"/>
        <v>44143</v>
      </c>
      <c r="C9" t="s">
        <v>40</v>
      </c>
      <c r="D9">
        <v>1890</v>
      </c>
      <c r="E9">
        <v>31</v>
      </c>
      <c r="F9">
        <v>1.64</v>
      </c>
    </row>
    <row r="10" spans="1:6" x14ac:dyDescent="0.25">
      <c r="A10">
        <v>20201109</v>
      </c>
      <c r="B10" s="1">
        <f t="shared" si="0"/>
        <v>44144</v>
      </c>
      <c r="C10" t="s">
        <v>41</v>
      </c>
      <c r="D10">
        <v>2765</v>
      </c>
      <c r="E10">
        <v>40</v>
      </c>
      <c r="F10">
        <v>1.45</v>
      </c>
    </row>
    <row r="11" spans="1:6" x14ac:dyDescent="0.25">
      <c r="A11">
        <v>20201110</v>
      </c>
      <c r="B11" s="1">
        <f t="shared" si="0"/>
        <v>44145</v>
      </c>
      <c r="C11" t="s">
        <v>42</v>
      </c>
      <c r="D11">
        <v>3221</v>
      </c>
      <c r="E11">
        <v>64</v>
      </c>
      <c r="F11">
        <v>1.99</v>
      </c>
    </row>
    <row r="12" spans="1:6" x14ac:dyDescent="0.25">
      <c r="A12">
        <v>20201111</v>
      </c>
      <c r="B12" s="1">
        <f t="shared" si="0"/>
        <v>44146</v>
      </c>
      <c r="C12" t="s">
        <v>43</v>
      </c>
      <c r="D12">
        <v>3247</v>
      </c>
      <c r="E12">
        <v>63</v>
      </c>
      <c r="F12">
        <v>1.94</v>
      </c>
    </row>
    <row r="13" spans="1:6" x14ac:dyDescent="0.25">
      <c r="A13">
        <v>20201112</v>
      </c>
      <c r="B13" s="1">
        <f t="shared" si="0"/>
        <v>44147</v>
      </c>
      <c r="C13" t="s">
        <v>44</v>
      </c>
      <c r="D13">
        <v>3132</v>
      </c>
      <c r="E13">
        <v>51</v>
      </c>
      <c r="F13">
        <v>1.63</v>
      </c>
    </row>
    <row r="14" spans="1:6" x14ac:dyDescent="0.25">
      <c r="A14">
        <v>20201113</v>
      </c>
      <c r="B14" s="1">
        <f t="shared" si="0"/>
        <v>44148</v>
      </c>
      <c r="C14" t="s">
        <v>45</v>
      </c>
      <c r="D14">
        <v>2828</v>
      </c>
      <c r="E14">
        <v>66</v>
      </c>
      <c r="F14">
        <v>2.33</v>
      </c>
    </row>
    <row r="15" spans="1:6" x14ac:dyDescent="0.25">
      <c r="A15">
        <v>20201114</v>
      </c>
      <c r="B15" s="1">
        <f t="shared" si="0"/>
        <v>44149</v>
      </c>
      <c r="C15" t="s">
        <v>46</v>
      </c>
      <c r="D15">
        <v>2052</v>
      </c>
      <c r="E15">
        <v>29</v>
      </c>
      <c r="F15">
        <v>1.41</v>
      </c>
    </row>
    <row r="16" spans="1:6" x14ac:dyDescent="0.25">
      <c r="A16">
        <v>20201115</v>
      </c>
      <c r="B16" s="1">
        <f t="shared" si="0"/>
        <v>44150</v>
      </c>
      <c r="C16" t="s">
        <v>40</v>
      </c>
      <c r="D16">
        <v>1942</v>
      </c>
      <c r="E16">
        <v>21</v>
      </c>
      <c r="F16">
        <v>1.08</v>
      </c>
    </row>
    <row r="17" spans="1:6" x14ac:dyDescent="0.25">
      <c r="A17">
        <v>20201116</v>
      </c>
      <c r="B17" s="1">
        <f t="shared" si="0"/>
        <v>44151</v>
      </c>
      <c r="C17" t="s">
        <v>41</v>
      </c>
      <c r="D17">
        <v>3047</v>
      </c>
      <c r="E17">
        <v>68</v>
      </c>
      <c r="F17">
        <v>2.23</v>
      </c>
    </row>
    <row r="18" spans="1:6" x14ac:dyDescent="0.25">
      <c r="A18">
        <v>20201117</v>
      </c>
      <c r="B18" s="1">
        <f t="shared" si="0"/>
        <v>44152</v>
      </c>
      <c r="C18" t="s">
        <v>42</v>
      </c>
      <c r="D18">
        <v>3404</v>
      </c>
      <c r="E18">
        <v>85</v>
      </c>
      <c r="F18">
        <v>2.5</v>
      </c>
    </row>
    <row r="19" spans="1:6" x14ac:dyDescent="0.25">
      <c r="A19">
        <v>20201118</v>
      </c>
      <c r="B19" s="1">
        <f t="shared" si="0"/>
        <v>44153</v>
      </c>
      <c r="C19" t="s">
        <v>43</v>
      </c>
      <c r="D19">
        <v>3472</v>
      </c>
      <c r="E19">
        <v>49</v>
      </c>
      <c r="F19">
        <v>1.41</v>
      </c>
    </row>
    <row r="20" spans="1:6" x14ac:dyDescent="0.25">
      <c r="A20">
        <v>20201119</v>
      </c>
      <c r="B20" s="1">
        <f t="shared" si="0"/>
        <v>44154</v>
      </c>
      <c r="C20" t="s">
        <v>44</v>
      </c>
      <c r="D20">
        <v>3536</v>
      </c>
      <c r="E20">
        <v>44</v>
      </c>
      <c r="F20">
        <v>1.24</v>
      </c>
    </row>
    <row r="21" spans="1:6" x14ac:dyDescent="0.25">
      <c r="A21">
        <v>20201120</v>
      </c>
      <c r="B21" s="1">
        <f t="shared" si="0"/>
        <v>44155</v>
      </c>
      <c r="C21" t="s">
        <v>45</v>
      </c>
      <c r="D21">
        <v>3434</v>
      </c>
      <c r="E21">
        <v>64</v>
      </c>
      <c r="F21">
        <v>1.86</v>
      </c>
    </row>
    <row r="22" spans="1:6" x14ac:dyDescent="0.25">
      <c r="A22">
        <v>20201121</v>
      </c>
      <c r="B22" s="1">
        <f t="shared" si="0"/>
        <v>44156</v>
      </c>
      <c r="C22" t="s">
        <v>46</v>
      </c>
      <c r="D22">
        <v>2723</v>
      </c>
      <c r="E22">
        <v>35</v>
      </c>
      <c r="F22">
        <v>1.29</v>
      </c>
    </row>
    <row r="23" spans="1:6" x14ac:dyDescent="0.25">
      <c r="A23">
        <v>20201122</v>
      </c>
      <c r="B23" s="1">
        <f t="shared" si="0"/>
        <v>44157</v>
      </c>
      <c r="C23" t="s">
        <v>40</v>
      </c>
      <c r="D23">
        <v>2329</v>
      </c>
      <c r="E23">
        <v>29</v>
      </c>
      <c r="F23">
        <v>1.25</v>
      </c>
    </row>
    <row r="24" spans="1:6" x14ac:dyDescent="0.25">
      <c r="A24">
        <v>20201123</v>
      </c>
      <c r="B24" s="1">
        <f t="shared" si="0"/>
        <v>44158</v>
      </c>
      <c r="C24" t="s">
        <v>41</v>
      </c>
      <c r="D24">
        <v>3378</v>
      </c>
      <c r="E24">
        <v>62</v>
      </c>
      <c r="F24">
        <v>1.84</v>
      </c>
    </row>
    <row r="25" spans="1:6" x14ac:dyDescent="0.25">
      <c r="A25">
        <v>20201124</v>
      </c>
      <c r="B25" s="1">
        <f t="shared" si="0"/>
        <v>44159</v>
      </c>
      <c r="C25" t="s">
        <v>42</v>
      </c>
      <c r="D25">
        <v>3591</v>
      </c>
      <c r="E25">
        <v>96</v>
      </c>
      <c r="F25">
        <v>2.67</v>
      </c>
    </row>
    <row r="26" spans="1:6" x14ac:dyDescent="0.25">
      <c r="A26">
        <v>20201125</v>
      </c>
      <c r="B26" s="1">
        <f t="shared" si="0"/>
        <v>44160</v>
      </c>
      <c r="C26" t="s">
        <v>43</v>
      </c>
      <c r="D26">
        <v>3727</v>
      </c>
      <c r="E26">
        <v>84</v>
      </c>
      <c r="F26">
        <v>2.25</v>
      </c>
    </row>
    <row r="27" spans="1:6" x14ac:dyDescent="0.25">
      <c r="A27">
        <v>20201126</v>
      </c>
      <c r="B27" s="1">
        <f t="shared" si="0"/>
        <v>44161</v>
      </c>
      <c r="C27" t="s">
        <v>44</v>
      </c>
      <c r="D27">
        <v>3562</v>
      </c>
      <c r="E27">
        <v>54</v>
      </c>
      <c r="F27">
        <v>1.52</v>
      </c>
    </row>
    <row r="28" spans="1:6" x14ac:dyDescent="0.25">
      <c r="A28">
        <v>20201127</v>
      </c>
      <c r="B28" s="1">
        <f t="shared" si="0"/>
        <v>44162</v>
      </c>
      <c r="C28" t="s">
        <v>45</v>
      </c>
      <c r="D28">
        <v>3466</v>
      </c>
      <c r="E28">
        <v>89</v>
      </c>
      <c r="F28">
        <v>2.57</v>
      </c>
    </row>
    <row r="29" spans="1:6" x14ac:dyDescent="0.25">
      <c r="A29">
        <v>20201128</v>
      </c>
      <c r="B29" s="1">
        <f t="shared" si="0"/>
        <v>44163</v>
      </c>
      <c r="C29" t="s">
        <v>46</v>
      </c>
      <c r="D29">
        <v>2969</v>
      </c>
      <c r="E29">
        <v>73</v>
      </c>
      <c r="F29">
        <v>2.46</v>
      </c>
    </row>
    <row r="30" spans="1:6" x14ac:dyDescent="0.25">
      <c r="A30">
        <v>20201129</v>
      </c>
      <c r="B30" s="1">
        <f t="shared" si="0"/>
        <v>44164</v>
      </c>
      <c r="C30" t="s">
        <v>40</v>
      </c>
      <c r="D30">
        <v>2846</v>
      </c>
      <c r="E30">
        <v>48</v>
      </c>
      <c r="F30">
        <v>1.69</v>
      </c>
    </row>
    <row r="31" spans="1:6" x14ac:dyDescent="0.25">
      <c r="A31">
        <v>20201130</v>
      </c>
      <c r="B31" s="1">
        <f t="shared" si="0"/>
        <v>44165</v>
      </c>
      <c r="C31" t="s">
        <v>41</v>
      </c>
      <c r="D31">
        <v>3919</v>
      </c>
      <c r="E31">
        <v>126</v>
      </c>
      <c r="F31">
        <v>3.22</v>
      </c>
    </row>
    <row r="32" spans="1:6" x14ac:dyDescent="0.25">
      <c r="A32">
        <v>20201201</v>
      </c>
      <c r="B32" s="1">
        <f t="shared" si="0"/>
        <v>44166</v>
      </c>
      <c r="C32" t="s">
        <v>42</v>
      </c>
      <c r="D32">
        <v>4239</v>
      </c>
      <c r="E32">
        <v>98</v>
      </c>
      <c r="F32">
        <v>2.31</v>
      </c>
    </row>
    <row r="33" spans="1:6" x14ac:dyDescent="0.25">
      <c r="A33">
        <v>20201202</v>
      </c>
      <c r="B33" s="1">
        <f t="shared" si="0"/>
        <v>44167</v>
      </c>
      <c r="C33" t="s">
        <v>43</v>
      </c>
      <c r="D33">
        <v>4063</v>
      </c>
      <c r="E33">
        <v>74</v>
      </c>
      <c r="F33">
        <v>1.82</v>
      </c>
    </row>
    <row r="34" spans="1:6" x14ac:dyDescent="0.25">
      <c r="A34">
        <v>20201203</v>
      </c>
      <c r="B34" s="1">
        <f t="shared" si="0"/>
        <v>44168</v>
      </c>
      <c r="C34" t="s">
        <v>44</v>
      </c>
      <c r="D34">
        <v>4419</v>
      </c>
      <c r="E34">
        <v>86</v>
      </c>
      <c r="F34">
        <v>1.95</v>
      </c>
    </row>
    <row r="35" spans="1:6" x14ac:dyDescent="0.25">
      <c r="A35">
        <v>20201204</v>
      </c>
      <c r="B35" s="1">
        <f t="shared" si="0"/>
        <v>44169</v>
      </c>
      <c r="C35" t="s">
        <v>45</v>
      </c>
      <c r="D35">
        <v>4094</v>
      </c>
      <c r="E35">
        <v>85</v>
      </c>
      <c r="F35">
        <v>2.08</v>
      </c>
    </row>
    <row r="36" spans="1:6" x14ac:dyDescent="0.25">
      <c r="A36">
        <v>20201205</v>
      </c>
      <c r="B36" s="1">
        <f t="shared" si="0"/>
        <v>44170</v>
      </c>
      <c r="C36" t="s">
        <v>46</v>
      </c>
      <c r="D36">
        <v>3044</v>
      </c>
      <c r="E36">
        <v>76</v>
      </c>
      <c r="F36">
        <v>2.5</v>
      </c>
    </row>
    <row r="37" spans="1:6" x14ac:dyDescent="0.25">
      <c r="A37">
        <v>20201206</v>
      </c>
      <c r="B37" s="1">
        <f t="shared" si="0"/>
        <v>44171</v>
      </c>
      <c r="C37" t="s">
        <v>40</v>
      </c>
      <c r="D37">
        <v>2922</v>
      </c>
      <c r="E37">
        <v>40</v>
      </c>
      <c r="F37">
        <v>1.37</v>
      </c>
    </row>
    <row r="38" spans="1:6" x14ac:dyDescent="0.25">
      <c r="A38">
        <v>20201207</v>
      </c>
      <c r="B38" s="1">
        <f t="shared" si="0"/>
        <v>44172</v>
      </c>
      <c r="C38" t="s">
        <v>41</v>
      </c>
      <c r="D38">
        <v>4672</v>
      </c>
      <c r="E38">
        <v>89</v>
      </c>
      <c r="F38">
        <v>1.9</v>
      </c>
    </row>
    <row r="39" spans="1:6" x14ac:dyDescent="0.25">
      <c r="A39">
        <v>20201208</v>
      </c>
      <c r="B39" s="1">
        <f t="shared" si="0"/>
        <v>44173</v>
      </c>
      <c r="C39" t="s">
        <v>42</v>
      </c>
      <c r="D39">
        <v>6640</v>
      </c>
      <c r="E39">
        <v>110</v>
      </c>
      <c r="F39">
        <v>1.66</v>
      </c>
    </row>
    <row r="40" spans="1:6" x14ac:dyDescent="0.25">
      <c r="A40">
        <v>20201209</v>
      </c>
      <c r="B40" s="1">
        <f t="shared" si="0"/>
        <v>44174</v>
      </c>
      <c r="C40" t="s">
        <v>43</v>
      </c>
      <c r="D40">
        <v>5468</v>
      </c>
      <c r="E40">
        <v>126</v>
      </c>
      <c r="F40">
        <v>2.2999999999999998</v>
      </c>
    </row>
    <row r="41" spans="1:6" x14ac:dyDescent="0.25">
      <c r="A41">
        <v>20201210</v>
      </c>
      <c r="B41" s="1">
        <f t="shared" si="0"/>
        <v>44175</v>
      </c>
      <c r="C41" t="s">
        <v>44</v>
      </c>
      <c r="D41">
        <v>5035</v>
      </c>
      <c r="E41">
        <v>126</v>
      </c>
      <c r="F41">
        <v>2.5</v>
      </c>
    </row>
    <row r="42" spans="1:6" x14ac:dyDescent="0.25">
      <c r="A42">
        <v>20201211</v>
      </c>
      <c r="B42" s="1">
        <f t="shared" si="0"/>
        <v>44176</v>
      </c>
      <c r="C42" t="s">
        <v>45</v>
      </c>
      <c r="D42">
        <v>4850</v>
      </c>
      <c r="E42">
        <v>145</v>
      </c>
      <c r="F42">
        <v>2.99</v>
      </c>
    </row>
    <row r="43" spans="1:6" x14ac:dyDescent="0.25">
      <c r="A43">
        <v>20201212</v>
      </c>
      <c r="B43" s="1">
        <f t="shared" si="0"/>
        <v>44177</v>
      </c>
      <c r="C43" t="s">
        <v>46</v>
      </c>
      <c r="D43">
        <v>3706</v>
      </c>
      <c r="E43">
        <v>99</v>
      </c>
      <c r="F43">
        <v>2.67</v>
      </c>
    </row>
    <row r="44" spans="1:6" x14ac:dyDescent="0.25">
      <c r="A44">
        <v>20201213</v>
      </c>
      <c r="B44" s="1">
        <f t="shared" si="0"/>
        <v>44178</v>
      </c>
      <c r="C44" t="s">
        <v>40</v>
      </c>
      <c r="D44">
        <v>3364</v>
      </c>
      <c r="E44">
        <v>62</v>
      </c>
      <c r="F44">
        <v>1.84</v>
      </c>
    </row>
    <row r="45" spans="1:6" x14ac:dyDescent="0.25">
      <c r="A45">
        <v>20201214</v>
      </c>
      <c r="B45" s="1">
        <f t="shared" si="0"/>
        <v>44179</v>
      </c>
      <c r="C45" t="s">
        <v>41</v>
      </c>
      <c r="D45">
        <v>4504</v>
      </c>
      <c r="E45">
        <v>84</v>
      </c>
      <c r="F45">
        <v>1.87</v>
      </c>
    </row>
    <row r="46" spans="1:6" x14ac:dyDescent="0.25">
      <c r="A46">
        <v>20201215</v>
      </c>
      <c r="B46" s="1">
        <f t="shared" si="0"/>
        <v>44180</v>
      </c>
      <c r="C46" t="s">
        <v>42</v>
      </c>
      <c r="D46">
        <v>4927</v>
      </c>
      <c r="E46">
        <v>115</v>
      </c>
      <c r="F46">
        <v>2.33</v>
      </c>
    </row>
    <row r="47" spans="1:6" x14ac:dyDescent="0.25">
      <c r="A47">
        <v>20201216</v>
      </c>
      <c r="B47" s="1">
        <f t="shared" si="0"/>
        <v>44181</v>
      </c>
      <c r="C47" t="s">
        <v>43</v>
      </c>
      <c r="D47">
        <v>4777</v>
      </c>
      <c r="E47">
        <v>115</v>
      </c>
      <c r="F47">
        <v>2.41</v>
      </c>
    </row>
    <row r="48" spans="1:6" x14ac:dyDescent="0.25">
      <c r="A48">
        <v>20201217</v>
      </c>
      <c r="B48" s="1">
        <f t="shared" si="0"/>
        <v>44182</v>
      </c>
      <c r="C48" t="s">
        <v>44</v>
      </c>
      <c r="D48">
        <v>4661</v>
      </c>
      <c r="E48">
        <v>88</v>
      </c>
      <c r="F48">
        <v>1.89</v>
      </c>
    </row>
    <row r="49" spans="1:6" x14ac:dyDescent="0.25">
      <c r="A49">
        <v>20201218</v>
      </c>
      <c r="B49" s="1">
        <f t="shared" si="0"/>
        <v>44183</v>
      </c>
      <c r="C49" t="s">
        <v>45</v>
      </c>
      <c r="D49">
        <v>4217</v>
      </c>
      <c r="E49">
        <v>79</v>
      </c>
      <c r="F49">
        <v>1.87</v>
      </c>
    </row>
    <row r="50" spans="1:6" x14ac:dyDescent="0.25">
      <c r="A50">
        <v>20201219</v>
      </c>
      <c r="B50" s="1">
        <f t="shared" si="0"/>
        <v>44184</v>
      </c>
      <c r="C50" t="s">
        <v>46</v>
      </c>
      <c r="D50">
        <v>3207</v>
      </c>
      <c r="E50">
        <v>40</v>
      </c>
      <c r="F50">
        <v>1.25</v>
      </c>
    </row>
    <row r="51" spans="1:6" x14ac:dyDescent="0.25">
      <c r="A51">
        <v>20201220</v>
      </c>
      <c r="B51" s="1">
        <f t="shared" si="0"/>
        <v>44185</v>
      </c>
      <c r="C51" t="s">
        <v>40</v>
      </c>
      <c r="D51">
        <v>2931</v>
      </c>
      <c r="E51">
        <v>19</v>
      </c>
      <c r="F51">
        <v>0.65</v>
      </c>
    </row>
    <row r="52" spans="1:6" x14ac:dyDescent="0.25">
      <c r="A52">
        <v>20201221</v>
      </c>
      <c r="B52" s="1">
        <f t="shared" si="0"/>
        <v>44186</v>
      </c>
      <c r="C52" t="s">
        <v>41</v>
      </c>
      <c r="D52">
        <v>3571</v>
      </c>
      <c r="E52">
        <v>48</v>
      </c>
      <c r="F52">
        <v>1.34</v>
      </c>
    </row>
    <row r="53" spans="1:6" x14ac:dyDescent="0.25">
      <c r="A53">
        <v>20201222</v>
      </c>
      <c r="B53" s="1">
        <f t="shared" si="0"/>
        <v>44187</v>
      </c>
      <c r="C53" t="s">
        <v>42</v>
      </c>
      <c r="D53">
        <v>3363</v>
      </c>
      <c r="E53">
        <v>56</v>
      </c>
      <c r="F53">
        <v>1.67</v>
      </c>
    </row>
    <row r="54" spans="1:6" x14ac:dyDescent="0.25">
      <c r="A54">
        <v>20201223</v>
      </c>
      <c r="B54" s="1">
        <f t="shared" si="0"/>
        <v>44188</v>
      </c>
      <c r="C54" t="s">
        <v>43</v>
      </c>
      <c r="D54">
        <v>3087</v>
      </c>
      <c r="E54">
        <v>53</v>
      </c>
      <c r="F54">
        <v>1.72</v>
      </c>
    </row>
    <row r="55" spans="1:6" x14ac:dyDescent="0.25">
      <c r="A55">
        <v>20201224</v>
      </c>
      <c r="B55" s="1">
        <f t="shared" si="0"/>
        <v>44189</v>
      </c>
      <c r="C55" t="s">
        <v>44</v>
      </c>
      <c r="D55">
        <v>2574</v>
      </c>
      <c r="E55">
        <v>22</v>
      </c>
      <c r="F55">
        <v>0.85</v>
      </c>
    </row>
    <row r="56" spans="1:6" x14ac:dyDescent="0.25">
      <c r="A56">
        <v>20201225</v>
      </c>
      <c r="B56" s="1">
        <f t="shared" si="0"/>
        <v>44190</v>
      </c>
      <c r="C56" t="s">
        <v>45</v>
      </c>
      <c r="D56">
        <v>2471</v>
      </c>
      <c r="E56">
        <v>17</v>
      </c>
      <c r="F56">
        <v>0.69</v>
      </c>
    </row>
    <row r="57" spans="1:6" x14ac:dyDescent="0.25">
      <c r="A57">
        <v>20201226</v>
      </c>
      <c r="B57" s="1">
        <f t="shared" si="0"/>
        <v>44191</v>
      </c>
      <c r="C57" t="s">
        <v>46</v>
      </c>
      <c r="D57">
        <v>2451</v>
      </c>
      <c r="E57">
        <v>16</v>
      </c>
      <c r="F57">
        <v>0.65</v>
      </c>
    </row>
    <row r="58" spans="1:6" x14ac:dyDescent="0.25">
      <c r="A58">
        <v>20201227</v>
      </c>
      <c r="B58" s="1">
        <f t="shared" si="0"/>
        <v>44192</v>
      </c>
      <c r="C58" t="s">
        <v>40</v>
      </c>
      <c r="D58">
        <v>2467</v>
      </c>
      <c r="E58">
        <v>20</v>
      </c>
      <c r="F58">
        <v>0.81</v>
      </c>
    </row>
    <row r="59" spans="1:6" x14ac:dyDescent="0.25">
      <c r="A59">
        <v>20201228</v>
      </c>
      <c r="B59" s="1">
        <f t="shared" si="0"/>
        <v>44193</v>
      </c>
      <c r="C59" t="s">
        <v>41</v>
      </c>
      <c r="D59">
        <v>3021</v>
      </c>
      <c r="E59">
        <v>32</v>
      </c>
      <c r="F59">
        <v>1.06</v>
      </c>
    </row>
    <row r="60" spans="1:6" x14ac:dyDescent="0.25">
      <c r="A60">
        <v>20201229</v>
      </c>
      <c r="B60" s="1">
        <f t="shared" si="0"/>
        <v>44194</v>
      </c>
      <c r="C60" t="s">
        <v>42</v>
      </c>
      <c r="D60">
        <v>3090</v>
      </c>
      <c r="E60">
        <v>22</v>
      </c>
      <c r="F60">
        <v>0.71</v>
      </c>
    </row>
    <row r="61" spans="1:6" x14ac:dyDescent="0.25">
      <c r="A61">
        <v>20201230</v>
      </c>
      <c r="B61" s="1">
        <f t="shared" si="0"/>
        <v>44195</v>
      </c>
      <c r="C61" t="s">
        <v>43</v>
      </c>
      <c r="D61">
        <v>2927</v>
      </c>
      <c r="E61">
        <v>21</v>
      </c>
      <c r="F61">
        <v>0.72</v>
      </c>
    </row>
    <row r="62" spans="1:6" x14ac:dyDescent="0.25">
      <c r="A62">
        <v>20201231</v>
      </c>
      <c r="B62" s="1">
        <f t="shared" si="0"/>
        <v>44196</v>
      </c>
      <c r="C62" t="s">
        <v>44</v>
      </c>
      <c r="D62">
        <v>2407</v>
      </c>
      <c r="E62">
        <v>22</v>
      </c>
      <c r="F62">
        <v>0.91</v>
      </c>
    </row>
    <row r="63" spans="1:6" x14ac:dyDescent="0.25">
      <c r="A63">
        <v>20210101</v>
      </c>
      <c r="B63" s="1">
        <f t="shared" si="0"/>
        <v>44197</v>
      </c>
      <c r="C63" t="s">
        <v>45</v>
      </c>
      <c r="D63">
        <v>2140</v>
      </c>
      <c r="E63">
        <v>12</v>
      </c>
      <c r="F63">
        <v>0.56000000000000005</v>
      </c>
    </row>
    <row r="64" spans="1:6" x14ac:dyDescent="0.25">
      <c r="A64">
        <v>20210102</v>
      </c>
      <c r="B64" s="1">
        <f t="shared" si="0"/>
        <v>44198</v>
      </c>
      <c r="C64" t="s">
        <v>46</v>
      </c>
      <c r="D64">
        <v>2555</v>
      </c>
      <c r="E64">
        <v>14</v>
      </c>
      <c r="F64">
        <v>0.55000000000000004</v>
      </c>
    </row>
    <row r="65" spans="1:6" x14ac:dyDescent="0.25">
      <c r="A65">
        <v>20210103</v>
      </c>
      <c r="B65" s="1">
        <f t="shared" si="0"/>
        <v>44199</v>
      </c>
      <c r="C65" t="s">
        <v>40</v>
      </c>
      <c r="D65">
        <v>2546</v>
      </c>
      <c r="E65">
        <v>14</v>
      </c>
      <c r="F65">
        <v>0.55000000000000004</v>
      </c>
    </row>
    <row r="66" spans="1:6" x14ac:dyDescent="0.25">
      <c r="A66">
        <v>20210104</v>
      </c>
      <c r="B66" s="1">
        <f t="shared" si="0"/>
        <v>44200</v>
      </c>
      <c r="C66" t="s">
        <v>41</v>
      </c>
      <c r="D66">
        <v>3037</v>
      </c>
      <c r="E66">
        <v>16</v>
      </c>
      <c r="F66">
        <v>0.53</v>
      </c>
    </row>
    <row r="67" spans="1:6" x14ac:dyDescent="0.25">
      <c r="A67">
        <v>20210105</v>
      </c>
      <c r="B67" s="1">
        <f t="shared" si="0"/>
        <v>44201</v>
      </c>
      <c r="C67" t="s">
        <v>42</v>
      </c>
      <c r="D67">
        <v>4033</v>
      </c>
      <c r="E67">
        <v>27</v>
      </c>
      <c r="F67">
        <v>0.67</v>
      </c>
    </row>
    <row r="68" spans="1:6" x14ac:dyDescent="0.25">
      <c r="A68">
        <v>20210106</v>
      </c>
      <c r="B68" s="1">
        <f t="shared" ref="B68:B93" si="1">DATE(LEFT(A68,4),MID(A68,5,2),RIGHT(A68,2))</f>
        <v>44202</v>
      </c>
      <c r="C68" t="s">
        <v>43</v>
      </c>
      <c r="D68">
        <v>5444</v>
      </c>
      <c r="E68">
        <v>28</v>
      </c>
      <c r="F68">
        <v>0.51</v>
      </c>
    </row>
    <row r="69" spans="1:6" x14ac:dyDescent="0.25">
      <c r="A69">
        <v>20210107</v>
      </c>
      <c r="B69" s="1">
        <f t="shared" si="1"/>
        <v>44203</v>
      </c>
      <c r="C69" t="s">
        <v>44</v>
      </c>
      <c r="D69">
        <v>4129</v>
      </c>
      <c r="E69">
        <v>25</v>
      </c>
      <c r="F69">
        <v>0.61</v>
      </c>
    </row>
    <row r="70" spans="1:6" x14ac:dyDescent="0.25">
      <c r="A70">
        <v>20210108</v>
      </c>
      <c r="B70" s="1">
        <f t="shared" si="1"/>
        <v>44204</v>
      </c>
      <c r="C70" t="s">
        <v>45</v>
      </c>
      <c r="D70">
        <v>3765</v>
      </c>
      <c r="E70">
        <v>34</v>
      </c>
      <c r="F70">
        <v>0.9</v>
      </c>
    </row>
    <row r="71" spans="1:6" x14ac:dyDescent="0.25">
      <c r="A71">
        <v>20210109</v>
      </c>
      <c r="B71" s="1">
        <f t="shared" si="1"/>
        <v>44205</v>
      </c>
      <c r="C71" t="s">
        <v>46</v>
      </c>
      <c r="D71">
        <v>2936</v>
      </c>
      <c r="E71">
        <v>18</v>
      </c>
      <c r="F71">
        <v>0.61</v>
      </c>
    </row>
    <row r="72" spans="1:6" x14ac:dyDescent="0.25">
      <c r="A72">
        <v>20210110</v>
      </c>
      <c r="B72" s="1">
        <f t="shared" si="1"/>
        <v>44206</v>
      </c>
      <c r="C72" t="s">
        <v>40</v>
      </c>
      <c r="D72">
        <v>2746</v>
      </c>
      <c r="E72">
        <v>14</v>
      </c>
      <c r="F72">
        <v>0.51</v>
      </c>
    </row>
    <row r="73" spans="1:6" x14ac:dyDescent="0.25">
      <c r="A73">
        <v>20210111</v>
      </c>
      <c r="B73" s="1">
        <f t="shared" si="1"/>
        <v>44207</v>
      </c>
      <c r="C73" t="s">
        <v>41</v>
      </c>
      <c r="D73">
        <v>3570</v>
      </c>
      <c r="E73">
        <v>26</v>
      </c>
      <c r="F73">
        <v>0.73</v>
      </c>
    </row>
    <row r="74" spans="1:6" x14ac:dyDescent="0.25">
      <c r="A74">
        <v>20210112</v>
      </c>
      <c r="B74" s="1">
        <f t="shared" si="1"/>
        <v>44208</v>
      </c>
      <c r="C74" t="s">
        <v>42</v>
      </c>
      <c r="D74">
        <v>4149</v>
      </c>
      <c r="E74">
        <v>43</v>
      </c>
      <c r="F74">
        <v>1.04</v>
      </c>
    </row>
    <row r="75" spans="1:6" x14ac:dyDescent="0.25">
      <c r="A75">
        <v>20210113</v>
      </c>
      <c r="B75" s="1">
        <f t="shared" si="1"/>
        <v>44209</v>
      </c>
      <c r="C75" t="s">
        <v>43</v>
      </c>
      <c r="D75">
        <v>4043</v>
      </c>
      <c r="E75">
        <v>34</v>
      </c>
      <c r="F75">
        <v>0.84</v>
      </c>
    </row>
    <row r="76" spans="1:6" x14ac:dyDescent="0.25">
      <c r="A76">
        <v>20210114</v>
      </c>
      <c r="B76" s="1">
        <f t="shared" si="1"/>
        <v>44210</v>
      </c>
      <c r="C76" t="s">
        <v>44</v>
      </c>
      <c r="D76">
        <v>3869</v>
      </c>
      <c r="E76">
        <v>47</v>
      </c>
      <c r="F76">
        <v>1.21</v>
      </c>
    </row>
    <row r="77" spans="1:6" x14ac:dyDescent="0.25">
      <c r="A77">
        <v>20210115</v>
      </c>
      <c r="B77" s="1">
        <f t="shared" si="1"/>
        <v>44211</v>
      </c>
      <c r="C77" t="s">
        <v>45</v>
      </c>
      <c r="D77">
        <v>3516</v>
      </c>
      <c r="E77">
        <v>38</v>
      </c>
      <c r="F77">
        <v>1.08</v>
      </c>
    </row>
    <row r="78" spans="1:6" x14ac:dyDescent="0.25">
      <c r="A78">
        <v>20210116</v>
      </c>
      <c r="B78" s="1">
        <f t="shared" si="1"/>
        <v>44212</v>
      </c>
      <c r="C78" t="s">
        <v>46</v>
      </c>
      <c r="D78">
        <v>2868</v>
      </c>
      <c r="E78">
        <v>23</v>
      </c>
      <c r="F78">
        <v>0.8</v>
      </c>
    </row>
    <row r="79" spans="1:6" x14ac:dyDescent="0.25">
      <c r="A79">
        <v>20210117</v>
      </c>
      <c r="B79" s="1">
        <f t="shared" si="1"/>
        <v>44213</v>
      </c>
      <c r="C79" t="s">
        <v>40</v>
      </c>
      <c r="D79">
        <v>2688</v>
      </c>
      <c r="E79">
        <v>14</v>
      </c>
      <c r="F79">
        <v>0.52</v>
      </c>
    </row>
    <row r="80" spans="1:6" x14ac:dyDescent="0.25">
      <c r="A80">
        <v>20210118</v>
      </c>
      <c r="B80" s="1">
        <f t="shared" si="1"/>
        <v>44214</v>
      </c>
      <c r="C80" t="s">
        <v>41</v>
      </c>
      <c r="D80">
        <v>3187</v>
      </c>
      <c r="E80">
        <v>18</v>
      </c>
      <c r="F80">
        <v>0.56000000000000005</v>
      </c>
    </row>
    <row r="81" spans="1:6" x14ac:dyDescent="0.25">
      <c r="A81">
        <v>20210119</v>
      </c>
      <c r="B81" s="1">
        <f t="shared" si="1"/>
        <v>44215</v>
      </c>
      <c r="C81" t="s">
        <v>42</v>
      </c>
      <c r="D81">
        <v>3678</v>
      </c>
      <c r="E81">
        <v>47</v>
      </c>
      <c r="F81">
        <v>1.28</v>
      </c>
    </row>
    <row r="82" spans="1:6" x14ac:dyDescent="0.25">
      <c r="A82">
        <v>20210120</v>
      </c>
      <c r="B82" s="1">
        <f t="shared" si="1"/>
        <v>44216</v>
      </c>
      <c r="C82" t="s">
        <v>43</v>
      </c>
      <c r="D82">
        <v>4151</v>
      </c>
      <c r="E82">
        <v>94</v>
      </c>
      <c r="F82">
        <v>2.2599999999999998</v>
      </c>
    </row>
    <row r="83" spans="1:6" x14ac:dyDescent="0.25">
      <c r="A83">
        <v>20210121</v>
      </c>
      <c r="B83" s="1">
        <f t="shared" si="1"/>
        <v>44217</v>
      </c>
      <c r="C83" t="s">
        <v>44</v>
      </c>
      <c r="D83">
        <v>4150</v>
      </c>
      <c r="E83">
        <v>49</v>
      </c>
      <c r="F83">
        <v>1.18</v>
      </c>
    </row>
    <row r="84" spans="1:6" x14ac:dyDescent="0.25">
      <c r="A84">
        <v>20210122</v>
      </c>
      <c r="B84" s="1">
        <f t="shared" si="1"/>
        <v>44218</v>
      </c>
      <c r="C84" t="s">
        <v>45</v>
      </c>
      <c r="D84">
        <v>3551</v>
      </c>
      <c r="E84">
        <v>86</v>
      </c>
      <c r="F84">
        <v>2.42</v>
      </c>
    </row>
    <row r="85" spans="1:6" x14ac:dyDescent="0.25">
      <c r="A85">
        <v>20210123</v>
      </c>
      <c r="B85" s="1">
        <f t="shared" si="1"/>
        <v>44219</v>
      </c>
      <c r="C85" t="s">
        <v>46</v>
      </c>
      <c r="D85">
        <v>2788</v>
      </c>
      <c r="E85">
        <v>42</v>
      </c>
      <c r="F85">
        <v>1.51</v>
      </c>
    </row>
    <row r="86" spans="1:6" x14ac:dyDescent="0.25">
      <c r="A86">
        <v>20210124</v>
      </c>
      <c r="B86" s="1">
        <f t="shared" si="1"/>
        <v>44220</v>
      </c>
      <c r="C86" t="s">
        <v>40</v>
      </c>
      <c r="D86">
        <v>2659</v>
      </c>
      <c r="E86">
        <v>35</v>
      </c>
      <c r="F86">
        <v>1.32</v>
      </c>
    </row>
    <row r="87" spans="1:6" x14ac:dyDescent="0.25">
      <c r="A87">
        <v>20210125</v>
      </c>
      <c r="B87" s="1">
        <f t="shared" si="1"/>
        <v>44221</v>
      </c>
      <c r="C87" t="s">
        <v>41</v>
      </c>
      <c r="D87">
        <v>3463</v>
      </c>
      <c r="E87">
        <v>58</v>
      </c>
      <c r="F87">
        <v>1.67</v>
      </c>
    </row>
    <row r="88" spans="1:6" x14ac:dyDescent="0.25">
      <c r="A88">
        <v>20210126</v>
      </c>
      <c r="B88" s="1">
        <f t="shared" si="1"/>
        <v>44222</v>
      </c>
      <c r="C88" t="s">
        <v>42</v>
      </c>
      <c r="D88">
        <v>3542</v>
      </c>
      <c r="E88">
        <v>51</v>
      </c>
      <c r="F88">
        <v>1.44</v>
      </c>
    </row>
    <row r="89" spans="1:6" x14ac:dyDescent="0.25">
      <c r="A89">
        <v>20210127</v>
      </c>
      <c r="B89" s="1">
        <f t="shared" si="1"/>
        <v>44223</v>
      </c>
      <c r="C89" t="s">
        <v>43</v>
      </c>
      <c r="D89">
        <v>3744</v>
      </c>
      <c r="E89">
        <v>49</v>
      </c>
      <c r="F89">
        <v>1.31</v>
      </c>
    </row>
    <row r="90" spans="1:6" x14ac:dyDescent="0.25">
      <c r="A90">
        <v>20210128</v>
      </c>
      <c r="B90" s="1">
        <f t="shared" si="1"/>
        <v>44224</v>
      </c>
      <c r="C90" t="s">
        <v>44</v>
      </c>
      <c r="D90">
        <v>3594</v>
      </c>
      <c r="E90">
        <v>56</v>
      </c>
      <c r="F90">
        <v>1.56</v>
      </c>
    </row>
    <row r="91" spans="1:6" x14ac:dyDescent="0.25">
      <c r="A91">
        <v>20210129</v>
      </c>
      <c r="B91" s="1">
        <f t="shared" si="1"/>
        <v>44225</v>
      </c>
      <c r="C91" t="s">
        <v>45</v>
      </c>
      <c r="D91">
        <v>3338</v>
      </c>
      <c r="E91">
        <v>51</v>
      </c>
      <c r="F91">
        <v>1.53</v>
      </c>
    </row>
    <row r="92" spans="1:6" x14ac:dyDescent="0.25">
      <c r="A92">
        <v>20210130</v>
      </c>
      <c r="B92" s="1">
        <f t="shared" si="1"/>
        <v>44226</v>
      </c>
      <c r="C92" t="s">
        <v>46</v>
      </c>
      <c r="D92">
        <v>2524</v>
      </c>
      <c r="E92">
        <v>28</v>
      </c>
      <c r="F92">
        <v>1.1100000000000001</v>
      </c>
    </row>
    <row r="93" spans="1:6" x14ac:dyDescent="0.25">
      <c r="A93">
        <v>20210131</v>
      </c>
      <c r="B93" s="1">
        <f t="shared" si="1"/>
        <v>44227</v>
      </c>
      <c r="C93" t="s">
        <v>40</v>
      </c>
      <c r="D93">
        <v>2473</v>
      </c>
      <c r="E93">
        <v>17</v>
      </c>
      <c r="F93">
        <v>0.69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B564E-4388-4AD5-AF19-958CCAC17FB2}">
  <dimension ref="A1:C8"/>
  <sheetViews>
    <sheetView workbookViewId="0">
      <selection activeCell="G8" sqref="G8"/>
    </sheetView>
  </sheetViews>
  <sheetFormatPr defaultRowHeight="15" x14ac:dyDescent="0.25"/>
  <cols>
    <col min="1" max="1" width="17.140625" customWidth="1"/>
    <col min="2" max="2" width="13.28515625" customWidth="1"/>
    <col min="3" max="3" width="13" customWidth="1"/>
  </cols>
  <sheetData>
    <row r="1" spans="1:3" x14ac:dyDescent="0.25">
      <c r="A1" t="s">
        <v>54</v>
      </c>
      <c r="B1" t="s">
        <v>55</v>
      </c>
      <c r="C1" t="s">
        <v>56</v>
      </c>
    </row>
    <row r="2" spans="1:3" x14ac:dyDescent="0.25">
      <c r="A2">
        <v>1</v>
      </c>
      <c r="B2" t="s">
        <v>40</v>
      </c>
      <c r="C2">
        <v>195</v>
      </c>
    </row>
    <row r="3" spans="1:3" x14ac:dyDescent="0.25">
      <c r="A3">
        <v>2</v>
      </c>
      <c r="B3" t="s">
        <v>41</v>
      </c>
      <c r="C3">
        <v>282</v>
      </c>
    </row>
    <row r="4" spans="1:3" x14ac:dyDescent="0.25">
      <c r="A4">
        <v>3</v>
      </c>
      <c r="B4" t="s">
        <v>42</v>
      </c>
      <c r="C4">
        <v>361</v>
      </c>
    </row>
    <row r="5" spans="1:3" x14ac:dyDescent="0.25">
      <c r="A5">
        <v>4</v>
      </c>
      <c r="B5" t="s">
        <v>43</v>
      </c>
      <c r="C5">
        <v>394</v>
      </c>
    </row>
    <row r="6" spans="1:3" x14ac:dyDescent="0.25">
      <c r="A6">
        <v>5</v>
      </c>
      <c r="B6" t="s">
        <v>44</v>
      </c>
      <c r="C6">
        <v>309</v>
      </c>
    </row>
    <row r="7" spans="1:3" x14ac:dyDescent="0.25">
      <c r="A7">
        <v>6</v>
      </c>
      <c r="B7" t="s">
        <v>45</v>
      </c>
      <c r="C7">
        <v>462</v>
      </c>
    </row>
    <row r="8" spans="1:3" x14ac:dyDescent="0.25">
      <c r="A8">
        <v>7</v>
      </c>
      <c r="B8" t="s">
        <v>46</v>
      </c>
      <c r="C8">
        <v>280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49D3A-EE78-42C7-BB26-50127BD6FCA7}">
  <dimension ref="A1:B3"/>
  <sheetViews>
    <sheetView workbookViewId="0">
      <selection activeCell="B4" sqref="B4"/>
    </sheetView>
  </sheetViews>
  <sheetFormatPr defaultRowHeight="15" x14ac:dyDescent="0.25"/>
  <cols>
    <col min="1" max="1" width="17.42578125" customWidth="1"/>
    <col min="2" max="2" width="14.7109375" customWidth="1"/>
  </cols>
  <sheetData>
    <row r="1" spans="1:2" x14ac:dyDescent="0.25">
      <c r="A1" t="s">
        <v>57</v>
      </c>
      <c r="B1" t="s">
        <v>58</v>
      </c>
    </row>
    <row r="2" spans="1:2" x14ac:dyDescent="0.25">
      <c r="A2" t="s">
        <v>59</v>
      </c>
      <c r="B2">
        <v>12545</v>
      </c>
    </row>
    <row r="3" spans="1:2" x14ac:dyDescent="0.25">
      <c r="A3" t="s">
        <v>60</v>
      </c>
      <c r="B3">
        <v>9715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87614-8C32-46DA-90BB-1889E8F4CF12}">
  <dimension ref="A1:C2"/>
  <sheetViews>
    <sheetView workbookViewId="0">
      <selection activeCell="B7" sqref="B7"/>
    </sheetView>
  </sheetViews>
  <sheetFormatPr defaultRowHeight="15" x14ac:dyDescent="0.25"/>
  <sheetData>
    <row r="1" spans="1:3" x14ac:dyDescent="0.25">
      <c r="A1" t="s">
        <v>47</v>
      </c>
      <c r="B1" t="s">
        <v>48</v>
      </c>
      <c r="C1" t="s">
        <v>49</v>
      </c>
    </row>
    <row r="2" spans="1:3" x14ac:dyDescent="0.25">
      <c r="A2">
        <v>12545</v>
      </c>
      <c r="B2">
        <v>9715</v>
      </c>
      <c r="C2">
        <v>22.56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8CA6A-42D2-48F2-BAFD-5F19A25BC544}">
  <dimension ref="A1:D3"/>
  <sheetViews>
    <sheetView workbookViewId="0">
      <selection activeCell="I24" sqref="I24"/>
    </sheetView>
  </sheetViews>
  <sheetFormatPr defaultRowHeight="15" x14ac:dyDescent="0.25"/>
  <sheetData>
    <row r="1" spans="1:4" x14ac:dyDescent="0.25">
      <c r="A1" t="s">
        <v>50</v>
      </c>
      <c r="B1" t="s">
        <v>0</v>
      </c>
      <c r="C1" t="s">
        <v>4</v>
      </c>
      <c r="D1" t="s">
        <v>5</v>
      </c>
    </row>
    <row r="2" spans="1:4" x14ac:dyDescent="0.25">
      <c r="A2" t="s">
        <v>51</v>
      </c>
      <c r="B2">
        <v>257314</v>
      </c>
      <c r="C2">
        <v>3511</v>
      </c>
      <c r="D2">
        <v>1.36</v>
      </c>
    </row>
    <row r="3" spans="1:4" x14ac:dyDescent="0.25">
      <c r="A3" t="s">
        <v>52</v>
      </c>
      <c r="B3">
        <v>9802</v>
      </c>
      <c r="C3">
        <v>908</v>
      </c>
      <c r="D3">
        <v>9.26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Q1</vt:lpstr>
      <vt:lpstr>Q2</vt:lpstr>
      <vt:lpstr>Q3</vt:lpstr>
      <vt:lpstr>Q4</vt:lpstr>
      <vt:lpstr>Q5</vt:lpstr>
      <vt:lpstr>Sheet1</vt:lpstr>
      <vt:lpstr>Sheet2</vt:lpstr>
      <vt:lpstr>Q6</vt:lpstr>
      <vt:lpstr>Q7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2026-07-24T14:33:37Z</dcterms:modified>
</cp:coreProperties>
</file>